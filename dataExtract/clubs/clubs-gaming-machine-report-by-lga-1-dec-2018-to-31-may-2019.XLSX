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codeName="ThisWorkbook" defaultThemeVersion="124226"/>
  <mc:AlternateContent xmlns:mc="http://schemas.openxmlformats.org/markup-compatibility/2006">
    <mc:Choice Requires="x15">
      <x15ac:absPath xmlns:x15ac="http://schemas.microsoft.com/office/spreadsheetml/2010/11/ac" url="C:\Users\beaverc\Desktop\GMS\"/>
    </mc:Choice>
  </mc:AlternateContent>
  <xr:revisionPtr revIDLastSave="0" documentId="13_ncr:1_{6EF59536-4D7D-41E7-8CFE-3DBC28541234}" xr6:coauthVersionLast="41" xr6:coauthVersionMax="41" xr10:uidLastSave="{00000000-0000-0000-0000-000000000000}"/>
  <bookViews>
    <workbookView xWindow="-108" yWindow="-108" windowWidth="23256" windowHeight="12576" xr2:uid="{00000000-000D-0000-FFFF-FFFF00000000}"/>
  </bookViews>
  <sheets>
    <sheet name="Clubs" sheetId="4" r:id="rId1"/>
    <sheet name="Glossary" sheetId="5" r:id="rId2"/>
  </sheets>
  <definedNames>
    <definedName name="_xlnm._FilterDatabase" localSheetId="0" hidden="1">Clubs!$A$4:$E$4</definedName>
    <definedName name="_xlnm._FilterDatabase" localSheetId="1" hidden="1">Glossary!$A$2:$C$2</definedName>
    <definedName name="_xlnm.Print_Titles" localSheetId="0">Clubs!$1:$4</definedName>
    <definedName name="_xlnm.Print_Titles" localSheetId="1">Glossary!$1:$2</definedName>
  </definedNames>
  <calcPr calcId="191029" concurrentManualCount="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105" i="4" l="1"/>
  <c r="D105" i="4"/>
  <c r="C105" i="4"/>
  <c r="B105" i="4"/>
</calcChain>
</file>

<file path=xl/sharedStrings.xml><?xml version="1.0" encoding="utf-8"?>
<sst xmlns="http://schemas.openxmlformats.org/spreadsheetml/2006/main" count="119" uniqueCount="116">
  <si>
    <t xml:space="preserve"> Local Government Area (LGA) </t>
  </si>
  <si>
    <t>Net Profit</t>
  </si>
  <si>
    <t>Tax</t>
  </si>
  <si>
    <t>Premises Count</t>
  </si>
  <si>
    <t>Total</t>
  </si>
  <si>
    <t>Definition of Terms</t>
  </si>
  <si>
    <t>The name of the LGA in which the club is located. Note: LGA boundaries reflect changes resulting from the 2016 LGA reforms.</t>
  </si>
  <si>
    <t>Net profit is the combined profit from electronic gaming machines for all clubs within an LGA for the given period.</t>
  </si>
  <si>
    <t>The tax calculated from the operation of electronic gaming machines for all clubs within the LGA for the given period.</t>
  </si>
  <si>
    <t>Electronic Gaming Machine (EGM) numbers</t>
  </si>
  <si>
    <t>This field provides the total number of authorised electronic gaming machines operating in clubs for each LGA. Note: This figure is provided at a point in time. Typically EGM numbers are extracted on the 1st working day of the month. However in some instances (for example holiday periods) the date the number of EGMs are extracted may not coincide directly with the end of the six month reporting period. The closest date after the end of the six month period is selected in these situations.</t>
  </si>
  <si>
    <t>The number of clubs which had a profit or tax assessed relating to the operation of electronic gaming machines during the stated period within the LGA. Note: If an LGA has less than 5 clubs operating with in it, the data is merged with a neighbouring LGA to maintain commercial in confidence information pertaining to the individual earnings of each club.</t>
  </si>
  <si>
    <t xml:space="preserve">Local Government Area (LGA) </t>
  </si>
  <si>
    <t>Albury</t>
  </si>
  <si>
    <t>Armidale</t>
  </si>
  <si>
    <t>Ballina</t>
  </si>
  <si>
    <t>Balranald
Carrathool
Central Darling</t>
  </si>
  <si>
    <t>Bathurst
Blayney</t>
  </si>
  <si>
    <t>Bayside</t>
  </si>
  <si>
    <t>Bega Valley</t>
  </si>
  <si>
    <t>Bellingen</t>
  </si>
  <si>
    <t>Berrigan</t>
  </si>
  <si>
    <t>Blacktown</t>
  </si>
  <si>
    <t>Bland
Narrandera</t>
  </si>
  <si>
    <t>Blue Mountains
Oberon</t>
  </si>
  <si>
    <t>Bogan
Bourke
Brewarrina</t>
  </si>
  <si>
    <t>Broken Hill
Unincorporated Far West
Wentworth</t>
  </si>
  <si>
    <t>Burwood
Strathfield</t>
  </si>
  <si>
    <t>Byron</t>
  </si>
  <si>
    <t>Cabonne</t>
  </si>
  <si>
    <t>Camden</t>
  </si>
  <si>
    <t>Campbelltown</t>
  </si>
  <si>
    <t>Canada Bay
Hunters Hill
Lane Cove</t>
  </si>
  <si>
    <t>Canterbury-Bankstown</t>
  </si>
  <si>
    <t>Central Coast</t>
  </si>
  <si>
    <t>Cessnock</t>
  </si>
  <si>
    <t>Clarence Valley</t>
  </si>
  <si>
    <t>Cobar
Lachlan</t>
  </si>
  <si>
    <t>Coffs Harbour</t>
  </si>
  <si>
    <t>Coolamon
Junee</t>
  </si>
  <si>
    <t>Coonamble
Gilgandra</t>
  </si>
  <si>
    <t>Cootamundra-Gundagai
Temora</t>
  </si>
  <si>
    <t>Cowra</t>
  </si>
  <si>
    <t>Cumberland</t>
  </si>
  <si>
    <t>Dubbo Regional</t>
  </si>
  <si>
    <t>Dungog
Singleton</t>
  </si>
  <si>
    <t>Edward River
Hay</t>
  </si>
  <si>
    <t>Eurobodalla</t>
  </si>
  <si>
    <t>Fairfield</t>
  </si>
  <si>
    <t>Federation</t>
  </si>
  <si>
    <t>Forbes
Weddin</t>
  </si>
  <si>
    <t>Georges River</t>
  </si>
  <si>
    <t>Glen Innes Severn
Tenterfield</t>
  </si>
  <si>
    <t>Goulburn Mulwaree
Upper Lachlan</t>
  </si>
  <si>
    <t>Greater Hume
Lockhart</t>
  </si>
  <si>
    <t>Griffith</t>
  </si>
  <si>
    <t>Gunnedah
Liverpool Plains</t>
  </si>
  <si>
    <t>Gwydir</t>
  </si>
  <si>
    <t>Hawkesbury</t>
  </si>
  <si>
    <t>Hilltops
Yass Valley</t>
  </si>
  <si>
    <t>Hornsby</t>
  </si>
  <si>
    <t>Inner West</t>
  </si>
  <si>
    <t>Inverell</t>
  </si>
  <si>
    <t>Kempsey</t>
  </si>
  <si>
    <t>Kiama</t>
  </si>
  <si>
    <t>Ku-ring-gai</t>
  </si>
  <si>
    <t>Kyogle</t>
  </si>
  <si>
    <t>Lake Macquarie</t>
  </si>
  <si>
    <t>Leeton
Murrumbidgee</t>
  </si>
  <si>
    <t>Lismore</t>
  </si>
  <si>
    <t>Lithgow</t>
  </si>
  <si>
    <t>Liverpool</t>
  </si>
  <si>
    <t>Maitland</t>
  </si>
  <si>
    <t>Mid-Coast</t>
  </si>
  <si>
    <t>Mid-Western Regional</t>
  </si>
  <si>
    <t>Moree Plains
Walgett</t>
  </si>
  <si>
    <t>Mosman
North Sydney</t>
  </si>
  <si>
    <t>Murray River</t>
  </si>
  <si>
    <t>Muswellbrook</t>
  </si>
  <si>
    <t>Nambucca</t>
  </si>
  <si>
    <t>Narrabri</t>
  </si>
  <si>
    <t>Narromine
Warren</t>
  </si>
  <si>
    <t>Newcastle</t>
  </si>
  <si>
    <t>Northern Beaches</t>
  </si>
  <si>
    <t>Orange</t>
  </si>
  <si>
    <t>Parkes</t>
  </si>
  <si>
    <t>Parramatta</t>
  </si>
  <si>
    <t>Penrith</t>
  </si>
  <si>
    <t>Port Macquarie-Hastings</t>
  </si>
  <si>
    <t>Port Stephens</t>
  </si>
  <si>
    <t>Queanbeyan-Palerang</t>
  </si>
  <si>
    <t>Randwick</t>
  </si>
  <si>
    <t>Richmond Valley</t>
  </si>
  <si>
    <t>Ryde</t>
  </si>
  <si>
    <t>Shellharbour</t>
  </si>
  <si>
    <t>Shoalhaven</t>
  </si>
  <si>
    <t>Snowy Monaro</t>
  </si>
  <si>
    <t>Snowy Valleys</t>
  </si>
  <si>
    <t>Sutherland</t>
  </si>
  <si>
    <t>Sydney</t>
  </si>
  <si>
    <t>Tamworth Regional</t>
  </si>
  <si>
    <t>The Hills</t>
  </si>
  <si>
    <t>Tweed</t>
  </si>
  <si>
    <t>Upper Hunter</t>
  </si>
  <si>
    <t>Uralla
Walcha</t>
  </si>
  <si>
    <t>Wagga Wagga</t>
  </si>
  <si>
    <t>Warrumbungle</t>
  </si>
  <si>
    <t>Waverley</t>
  </si>
  <si>
    <t>Willoughby</t>
  </si>
  <si>
    <t>Wingecarribee</t>
  </si>
  <si>
    <t>Wollondilly</t>
  </si>
  <si>
    <t>Wollongong</t>
  </si>
  <si>
    <t>Woollahra</t>
  </si>
  <si>
    <t>Clubs: Gaming Machine Bi-Annual Report by Local Government Area (LGA) 
for the Period 1 December 2018 to 31 May 2019</t>
  </si>
  <si>
    <t>Electronic Gaming Machine numbers
as at 3 June 2019</t>
  </si>
  <si>
    <t>Published October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</si>
</sst>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quot;$&quot;#,##0"/>
    <numFmt numFmtId="43" formatCode="_-* #,##0.00_-;\-* #,##0.00_-;_-* &quot;-&quot;??_-;_-@_-"/>
    <numFmt numFmtId="164" formatCode="_-* #,##0_-;\-* #,##0_-;_-* &quot;-&quot;??_-;_-@_-"/>
    <numFmt numFmtId="165" formatCode="&quot;$&quot;#,##0.00"/>
  </numFmts>
  <fonts count="9" x14ac:knownFonts="1">
    <font>
      <sz val="8"/>
      <color theme="1"/>
      <name val="Arial"/>
      <family val="2"/>
    </font>
    <font>
      <sz val="8"/>
      <name val="Arial"/>
      <family val="2"/>
    </font>
    <font>
      <sz val="8"/>
      <color rgb="FFFFFFFF"/>
      <name val="Arial"/>
      <family val="2"/>
    </font>
    <font>
      <b/>
      <sz val="10"/>
      <color rgb="FFFFFFFF"/>
      <name val="Arial"/>
      <family val="2"/>
    </font>
    <font>
      <sz val="10"/>
      <color theme="1"/>
      <name val="Arial"/>
      <family val="2"/>
    </font>
    <font>
      <sz val="11"/>
      <color indexed="8"/>
      <name val="Calibri"/>
      <family val="2"/>
    </font>
    <font>
      <sz val="10"/>
      <color rgb="FF000000"/>
      <name val="Arial"/>
      <family val="2"/>
    </font>
    <font>
      <sz val="8"/>
      <color theme="1"/>
      <name val="Arial"/>
      <family val="2"/>
    </font>
    <font>
      <b/>
      <sz val="10"/>
      <color theme="0"/>
      <name val="Arial"/>
      <family val="2"/>
    </font>
  </fonts>
  <fills count="6">
    <fill>
      <patternFill patternType="none"/>
    </fill>
    <fill>
      <patternFill patternType="gray125"/>
    </fill>
    <fill>
      <patternFill patternType="solid">
        <fgColor rgb="FF00859B"/>
        <bgColor rgb="FFFFFFFF"/>
      </patternFill>
    </fill>
    <fill>
      <patternFill patternType="solid">
        <fgColor rgb="FF0B64A0"/>
        <bgColor rgb="FFFFFFFF"/>
      </patternFill>
    </fill>
    <fill>
      <patternFill patternType="solid">
        <fgColor rgb="FF63B1BC"/>
        <bgColor rgb="FFFFFFFF"/>
      </patternFill>
    </fill>
    <fill>
      <patternFill patternType="solid">
        <fgColor rgb="FF005670"/>
        <bgColor rgb="FFFFFFFF"/>
      </patternFill>
    </fill>
  </fills>
  <borders count="5">
    <border>
      <left/>
      <right/>
      <top/>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s>
  <cellStyleXfs count="5">
    <xf numFmtId="0" fontId="0" fillId="0" borderId="0"/>
    <xf numFmtId="0" fontId="1" fillId="0" borderId="0"/>
    <xf numFmtId="43" fontId="5" fillId="0" borderId="0" applyFont="0" applyFill="0" applyBorder="0" applyAlignment="0" applyProtection="0"/>
    <xf numFmtId="0" fontId="6" fillId="0" borderId="0"/>
    <xf numFmtId="43" fontId="7" fillId="0" borderId="0" applyFont="0" applyFill="0" applyBorder="0" applyAlignment="0" applyProtection="0"/>
  </cellStyleXfs>
  <cellXfs count="24">
    <xf numFmtId="0" fontId="0" fillId="0" borderId="0" xfId="0"/>
    <xf numFmtId="0" fontId="0" fillId="0" borderId="0" xfId="0" applyAlignment="1">
      <alignment vertical="center"/>
    </xf>
    <xf numFmtId="4" fontId="0" fillId="0" borderId="0" xfId="0" applyNumberFormat="1" applyAlignment="1">
      <alignment vertical="center"/>
    </xf>
    <xf numFmtId="49" fontId="3" fillId="5" borderId="1" xfId="0" applyNumberFormat="1" applyFont="1" applyFill="1" applyBorder="1" applyAlignment="1">
      <alignment horizontal="left" vertical="center" wrapText="1"/>
    </xf>
    <xf numFmtId="4" fontId="3" fillId="5" borderId="1" xfId="0" applyNumberFormat="1" applyFont="1" applyFill="1" applyBorder="1" applyAlignment="1">
      <alignment horizontal="left" vertical="center" wrapText="1"/>
    </xf>
    <xf numFmtId="3" fontId="3" fillId="5" borderId="1" xfId="0" applyNumberFormat="1" applyFont="1" applyFill="1" applyBorder="1" applyAlignment="1">
      <alignment horizontal="left" vertical="center" wrapText="1"/>
    </xf>
    <xf numFmtId="4" fontId="4" fillId="0" borderId="1" xfId="0" applyNumberFormat="1" applyFont="1" applyBorder="1" applyAlignment="1">
      <alignment horizontal="left" vertical="center" wrapText="1"/>
    </xf>
    <xf numFmtId="164" fontId="3" fillId="3" borderId="1" xfId="4" applyNumberFormat="1" applyFont="1" applyFill="1" applyBorder="1" applyAlignment="1">
      <alignment vertical="center" wrapText="1"/>
    </xf>
    <xf numFmtId="0" fontId="0" fillId="0" borderId="0" xfId="0" applyAlignment="1"/>
    <xf numFmtId="43" fontId="0" fillId="0" borderId="0" xfId="4" applyFont="1" applyAlignment="1">
      <alignment vertical="center"/>
    </xf>
    <xf numFmtId="164" fontId="3" fillId="5" borderId="1" xfId="4" applyNumberFormat="1" applyFont="1" applyFill="1" applyBorder="1" applyAlignment="1">
      <alignment horizontal="left" vertical="center" wrapText="1"/>
    </xf>
    <xf numFmtId="164" fontId="0" fillId="0" borderId="0" xfId="4" applyNumberFormat="1" applyFont="1" applyAlignment="1">
      <alignment vertical="center"/>
    </xf>
    <xf numFmtId="5" fontId="3" fillId="3" borderId="1" xfId="4" applyNumberFormat="1" applyFont="1" applyFill="1" applyBorder="1" applyAlignment="1">
      <alignment vertical="center" wrapText="1"/>
    </xf>
    <xf numFmtId="0" fontId="0" fillId="0" borderId="0" xfId="0"/>
    <xf numFmtId="0" fontId="0" fillId="0" borderId="0" xfId="0" applyAlignment="1">
      <alignment wrapText="1"/>
    </xf>
    <xf numFmtId="165" fontId="0" fillId="0" borderId="0" xfId="0" applyNumberFormat="1"/>
    <xf numFmtId="43" fontId="3" fillId="5" borderId="1" xfId="4" applyFont="1" applyFill="1" applyBorder="1" applyAlignment="1">
      <alignment horizontal="left" vertical="center" wrapText="1"/>
    </xf>
    <xf numFmtId="164" fontId="0" fillId="0" borderId="0" xfId="4" applyNumberFormat="1" applyFont="1"/>
    <xf numFmtId="0" fontId="2" fillId="2" borderId="1" xfId="1" applyFont="1" applyFill="1" applyBorder="1" applyAlignment="1">
      <alignment horizontal="center" vertical="center"/>
    </xf>
    <xf numFmtId="49" fontId="3" fillId="4" borderId="1" xfId="0" applyNumberFormat="1" applyFont="1" applyFill="1" applyBorder="1" applyAlignment="1">
      <alignment horizontal="center" vertical="center" wrapText="1"/>
    </xf>
    <xf numFmtId="49" fontId="3" fillId="4" borderId="1" xfId="0" applyNumberFormat="1" applyFont="1" applyFill="1" applyBorder="1" applyAlignment="1">
      <alignment horizontal="center" vertical="center"/>
    </xf>
    <xf numFmtId="0" fontId="8" fillId="2" borderId="2" xfId="1" applyFont="1" applyFill="1" applyBorder="1" applyAlignment="1">
      <alignment horizontal="center" vertical="center" wrapText="1"/>
    </xf>
    <xf numFmtId="0" fontId="8" fillId="2" borderId="3" xfId="1" applyFont="1" applyFill="1" applyBorder="1" applyAlignment="1">
      <alignment horizontal="center" vertical="center"/>
    </xf>
    <xf numFmtId="0" fontId="8" fillId="2" borderId="4" xfId="1" applyFont="1" applyFill="1" applyBorder="1" applyAlignment="1">
      <alignment horizontal="center" vertical="center"/>
    </xf>
  </cellXfs>
  <cellStyles count="5">
    <cellStyle name="Comma" xfId="4" builtinId="3"/>
    <cellStyle name="Comma 2" xfId="2" xr:uid="{00000000-0005-0000-0000-000001000000}"/>
    <cellStyle name="Normal" xfId="0" builtinId="0"/>
    <cellStyle name="Normal 2" xfId="1" xr:uid="{00000000-0005-0000-0000-000003000000}"/>
    <cellStyle name="Normal 2 2" xfId="3" xr:uid="{00000000-0005-0000-0000-000004000000}"/>
  </cellStyles>
  <dxfs count="5">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0B64A0"/>
      <color rgb="FF005670"/>
      <color rgb="FF63B1B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184751</xdr:rowOff>
    </xdr:from>
    <xdr:to>
      <xdr:col>1</xdr:col>
      <xdr:colOff>350906</xdr:colOff>
      <xdr:row>0</xdr:row>
      <xdr:rowOff>977299</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4751"/>
          <a:ext cx="2398781" cy="7925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184751</xdr:rowOff>
    </xdr:from>
    <xdr:to>
      <xdr:col>1</xdr:col>
      <xdr:colOff>350906</xdr:colOff>
      <xdr:row>0</xdr:row>
      <xdr:rowOff>977299</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4751"/>
          <a:ext cx="2398781" cy="79254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E105"/>
  <sheetViews>
    <sheetView tabSelected="1" zoomScaleNormal="100" workbookViewId="0">
      <pane ySplit="4" topLeftCell="A5" activePane="bottomLeft" state="frozen"/>
      <selection pane="bottomLeft" activeCell="F3" sqref="F3"/>
    </sheetView>
  </sheetViews>
  <sheetFormatPr defaultColWidth="9.28515625" defaultRowHeight="10.199999999999999" x14ac:dyDescent="0.2"/>
  <cols>
    <col min="1" max="1" width="35.85546875" style="1" customWidth="1"/>
    <col min="2" max="3" width="22.85546875" style="9" customWidth="1"/>
    <col min="4" max="5" width="22.85546875" style="11" customWidth="1"/>
    <col min="6" max="16384" width="9.28515625" style="1"/>
  </cols>
  <sheetData>
    <row r="1" spans="1:5" s="13" customFormat="1" ht="95.1" customHeight="1" x14ac:dyDescent="0.2">
      <c r="A1" s="18"/>
      <c r="B1" s="18"/>
      <c r="C1" s="18"/>
      <c r="D1" s="18"/>
      <c r="E1" s="18"/>
    </row>
    <row r="2" spans="1:5" s="13" customFormat="1" ht="45" customHeight="1" x14ac:dyDescent="0.2">
      <c r="A2" s="21" t="s">
        <v>113</v>
      </c>
      <c r="B2" s="22"/>
      <c r="C2" s="22"/>
      <c r="D2" s="22"/>
      <c r="E2" s="23"/>
    </row>
    <row r="3" spans="1:5" s="13" customFormat="1" ht="16.5" customHeight="1" x14ac:dyDescent="0.2">
      <c r="A3" s="19" t="s">
        <v>115</v>
      </c>
      <c r="B3" s="20"/>
      <c r="C3" s="20"/>
      <c r="D3" s="20"/>
      <c r="E3" s="20"/>
    </row>
    <row r="4" spans="1:5" s="13" customFormat="1" ht="60" customHeight="1" x14ac:dyDescent="0.2">
      <c r="A4" s="3" t="s">
        <v>0</v>
      </c>
      <c r="B4" s="16" t="s">
        <v>1</v>
      </c>
      <c r="C4" s="16" t="s">
        <v>2</v>
      </c>
      <c r="D4" s="10" t="s">
        <v>114</v>
      </c>
      <c r="E4" s="10" t="s">
        <v>3</v>
      </c>
    </row>
    <row r="5" spans="1:5" s="8" customFormat="1" x14ac:dyDescent="0.2">
      <c r="A5" s="13" t="s">
        <v>13</v>
      </c>
      <c r="B5" s="15">
        <v>27675666.359999999</v>
      </c>
      <c r="C5" s="15">
        <v>6191868.8200000003</v>
      </c>
      <c r="D5" s="17">
        <v>995</v>
      </c>
      <c r="E5" s="13">
        <v>5</v>
      </c>
    </row>
    <row r="6" spans="1:5" s="8" customFormat="1" x14ac:dyDescent="0.2">
      <c r="A6" s="13" t="s">
        <v>14</v>
      </c>
      <c r="B6" s="15">
        <v>4095697.12</v>
      </c>
      <c r="C6" s="15">
        <v>573244.53</v>
      </c>
      <c r="D6" s="17">
        <v>193</v>
      </c>
      <c r="E6" s="13">
        <v>5</v>
      </c>
    </row>
    <row r="7" spans="1:5" s="8" customFormat="1" x14ac:dyDescent="0.2">
      <c r="A7" s="13" t="s">
        <v>15</v>
      </c>
      <c r="B7" s="15">
        <v>9357886.129999999</v>
      </c>
      <c r="C7" s="15">
        <v>1605283.2400000002</v>
      </c>
      <c r="D7" s="17">
        <v>407</v>
      </c>
      <c r="E7" s="13">
        <v>7</v>
      </c>
    </row>
    <row r="8" spans="1:5" s="8" customFormat="1" ht="30.6" x14ac:dyDescent="0.2">
      <c r="A8" s="14" t="s">
        <v>16</v>
      </c>
      <c r="B8" s="15">
        <v>6931103.8700000001</v>
      </c>
      <c r="C8" s="15">
        <v>1170571.6200000001</v>
      </c>
      <c r="D8" s="17">
        <v>195</v>
      </c>
      <c r="E8" s="13">
        <v>6</v>
      </c>
    </row>
    <row r="9" spans="1:5" s="8" customFormat="1" ht="20.399999999999999" x14ac:dyDescent="0.2">
      <c r="A9" s="14" t="s">
        <v>17</v>
      </c>
      <c r="B9" s="15">
        <v>7634807.3299999991</v>
      </c>
      <c r="C9" s="15">
        <v>1376057.98</v>
      </c>
      <c r="D9" s="17">
        <v>305</v>
      </c>
      <c r="E9" s="13">
        <v>8</v>
      </c>
    </row>
    <row r="10" spans="1:5" s="8" customFormat="1" x14ac:dyDescent="0.2">
      <c r="A10" s="13" t="s">
        <v>18</v>
      </c>
      <c r="B10" s="15">
        <v>30528984.510000002</v>
      </c>
      <c r="C10" s="15">
        <v>5432629.9000000004</v>
      </c>
      <c r="D10" s="17">
        <v>1120</v>
      </c>
      <c r="E10" s="13">
        <v>20</v>
      </c>
    </row>
    <row r="11" spans="1:5" s="8" customFormat="1" x14ac:dyDescent="0.2">
      <c r="A11" s="13" t="s">
        <v>19</v>
      </c>
      <c r="B11" s="15">
        <v>10952483.499999998</v>
      </c>
      <c r="C11" s="15">
        <v>1449944.47</v>
      </c>
      <c r="D11" s="17">
        <v>572</v>
      </c>
      <c r="E11" s="13">
        <v>12</v>
      </c>
    </row>
    <row r="12" spans="1:5" s="8" customFormat="1" x14ac:dyDescent="0.2">
      <c r="A12" s="13" t="s">
        <v>20</v>
      </c>
      <c r="B12" s="15">
        <v>1692279.4600000002</v>
      </c>
      <c r="C12" s="15">
        <v>130694.33</v>
      </c>
      <c r="D12" s="17">
        <v>130</v>
      </c>
      <c r="E12" s="13">
        <v>5</v>
      </c>
    </row>
    <row r="13" spans="1:5" s="8" customFormat="1" x14ac:dyDescent="0.2">
      <c r="A13" s="13" t="s">
        <v>21</v>
      </c>
      <c r="B13" s="15">
        <v>7441068.5599999996</v>
      </c>
      <c r="C13" s="15">
        <v>1263279.6200000001</v>
      </c>
      <c r="D13" s="17">
        <v>330</v>
      </c>
      <c r="E13" s="13">
        <v>7</v>
      </c>
    </row>
    <row r="14" spans="1:5" s="8" customFormat="1" x14ac:dyDescent="0.2">
      <c r="A14" s="13" t="s">
        <v>22</v>
      </c>
      <c r="B14" s="15">
        <v>76538874.239999995</v>
      </c>
      <c r="C14" s="15">
        <v>17508917.449999999</v>
      </c>
      <c r="D14" s="17">
        <v>2115</v>
      </c>
      <c r="E14" s="13">
        <v>12</v>
      </c>
    </row>
    <row r="15" spans="1:5" s="8" customFormat="1" ht="20.399999999999999" x14ac:dyDescent="0.2">
      <c r="A15" s="14" t="s">
        <v>23</v>
      </c>
      <c r="B15" s="15">
        <v>1525901.7899999998</v>
      </c>
      <c r="C15" s="15">
        <v>101746.92</v>
      </c>
      <c r="D15" s="17">
        <v>163</v>
      </c>
      <c r="E15" s="13">
        <v>10</v>
      </c>
    </row>
    <row r="16" spans="1:5" s="8" customFormat="1" ht="20.399999999999999" x14ac:dyDescent="0.2">
      <c r="A16" s="14" t="s">
        <v>24</v>
      </c>
      <c r="B16" s="15">
        <v>4357454.57</v>
      </c>
      <c r="C16" s="15">
        <v>393338.93999999994</v>
      </c>
      <c r="D16" s="17">
        <v>335</v>
      </c>
      <c r="E16" s="13">
        <v>12</v>
      </c>
    </row>
    <row r="17" spans="1:5" s="8" customFormat="1" ht="30.6" x14ac:dyDescent="0.2">
      <c r="A17" s="14" t="s">
        <v>25</v>
      </c>
      <c r="B17" s="15">
        <v>1837551.23</v>
      </c>
      <c r="C17" s="15">
        <v>94819.239999999991</v>
      </c>
      <c r="D17" s="17">
        <v>84</v>
      </c>
      <c r="E17" s="13">
        <v>5</v>
      </c>
    </row>
    <row r="18" spans="1:5" s="8" customFormat="1" ht="30.6" x14ac:dyDescent="0.2">
      <c r="A18" s="14" t="s">
        <v>26</v>
      </c>
      <c r="B18" s="15">
        <v>10007041.760000002</v>
      </c>
      <c r="C18" s="15">
        <v>1597254.6</v>
      </c>
      <c r="D18" s="17">
        <v>478</v>
      </c>
      <c r="E18" s="13">
        <v>7</v>
      </c>
    </row>
    <row r="19" spans="1:5" s="8" customFormat="1" ht="20.399999999999999" x14ac:dyDescent="0.2">
      <c r="A19" s="14" t="s">
        <v>27</v>
      </c>
      <c r="B19" s="15">
        <v>25410418.759999998</v>
      </c>
      <c r="C19" s="15">
        <v>5353728.7</v>
      </c>
      <c r="D19" s="17">
        <v>546</v>
      </c>
      <c r="E19" s="13">
        <v>7</v>
      </c>
    </row>
    <row r="20" spans="1:5" s="8" customFormat="1" x14ac:dyDescent="0.2">
      <c r="A20" s="13" t="s">
        <v>28</v>
      </c>
      <c r="B20" s="15">
        <v>3429336.5</v>
      </c>
      <c r="C20" s="15">
        <v>340929.23</v>
      </c>
      <c r="D20" s="17">
        <v>250</v>
      </c>
      <c r="E20" s="13">
        <v>10</v>
      </c>
    </row>
    <row r="21" spans="1:5" s="8" customFormat="1" x14ac:dyDescent="0.2">
      <c r="A21" s="13" t="s">
        <v>29</v>
      </c>
      <c r="B21" s="15">
        <v>903253.42000000016</v>
      </c>
      <c r="C21" s="15">
        <v>0</v>
      </c>
      <c r="D21" s="17">
        <v>92</v>
      </c>
      <c r="E21" s="13">
        <v>11</v>
      </c>
    </row>
    <row r="22" spans="1:5" s="8" customFormat="1" x14ac:dyDescent="0.2">
      <c r="A22" s="13" t="s">
        <v>30</v>
      </c>
      <c r="B22" s="15">
        <v>9804392.1999999993</v>
      </c>
      <c r="C22" s="15">
        <v>1783533.5799999998</v>
      </c>
      <c r="D22" s="17">
        <v>430</v>
      </c>
      <c r="E22" s="13">
        <v>5</v>
      </c>
    </row>
    <row r="23" spans="1:5" s="8" customFormat="1" x14ac:dyDescent="0.2">
      <c r="A23" s="13" t="s">
        <v>31</v>
      </c>
      <c r="B23" s="15">
        <v>53635256.950000003</v>
      </c>
      <c r="C23" s="15">
        <v>12144222.149999999</v>
      </c>
      <c r="D23" s="17">
        <v>1598</v>
      </c>
      <c r="E23" s="13">
        <v>9</v>
      </c>
    </row>
    <row r="24" spans="1:5" s="8" customFormat="1" ht="30.6" x14ac:dyDescent="0.2">
      <c r="A24" s="14" t="s">
        <v>32</v>
      </c>
      <c r="B24" s="15">
        <v>16444322.640000002</v>
      </c>
      <c r="C24" s="15">
        <v>2843616.64</v>
      </c>
      <c r="D24" s="17">
        <v>712</v>
      </c>
      <c r="E24" s="13">
        <v>13</v>
      </c>
    </row>
    <row r="25" spans="1:5" s="8" customFormat="1" x14ac:dyDescent="0.2">
      <c r="A25" s="13" t="s">
        <v>33</v>
      </c>
      <c r="B25" s="15">
        <v>175169930.30000004</v>
      </c>
      <c r="C25" s="15">
        <v>40402700.369999997</v>
      </c>
      <c r="D25" s="17">
        <v>4179</v>
      </c>
      <c r="E25" s="13">
        <v>33</v>
      </c>
    </row>
    <row r="26" spans="1:5" s="8" customFormat="1" x14ac:dyDescent="0.2">
      <c r="A26" s="13" t="s">
        <v>34</v>
      </c>
      <c r="B26" s="15">
        <v>103705545.14999998</v>
      </c>
      <c r="C26" s="15">
        <v>19409246.640000001</v>
      </c>
      <c r="D26" s="17">
        <v>3990</v>
      </c>
      <c r="E26" s="13">
        <v>39</v>
      </c>
    </row>
    <row r="27" spans="1:5" s="8" customFormat="1" x14ac:dyDescent="0.2">
      <c r="A27" s="13" t="s">
        <v>35</v>
      </c>
      <c r="B27" s="15">
        <v>9613632.5</v>
      </c>
      <c r="C27" s="15">
        <v>1255354.06</v>
      </c>
      <c r="D27" s="17">
        <v>544</v>
      </c>
      <c r="E27" s="13">
        <v>14</v>
      </c>
    </row>
    <row r="28" spans="1:5" s="8" customFormat="1" x14ac:dyDescent="0.2">
      <c r="A28" s="13" t="s">
        <v>36</v>
      </c>
      <c r="B28" s="15">
        <v>10673313.93</v>
      </c>
      <c r="C28" s="15">
        <v>1455456.6400000001</v>
      </c>
      <c r="D28" s="17">
        <v>529</v>
      </c>
      <c r="E28" s="13">
        <v>13</v>
      </c>
    </row>
    <row r="29" spans="1:5" s="8" customFormat="1" ht="20.399999999999999" x14ac:dyDescent="0.2">
      <c r="A29" s="14" t="s">
        <v>37</v>
      </c>
      <c r="B29" s="15">
        <v>2003940.5699999998</v>
      </c>
      <c r="C29" s="15">
        <v>149307.6</v>
      </c>
      <c r="D29" s="17">
        <v>134</v>
      </c>
      <c r="E29" s="13">
        <v>7</v>
      </c>
    </row>
    <row r="30" spans="1:5" s="8" customFormat="1" x14ac:dyDescent="0.2">
      <c r="A30" s="13" t="s">
        <v>38</v>
      </c>
      <c r="B30" s="15">
        <v>15723992.529999999</v>
      </c>
      <c r="C30" s="15">
        <v>2799329.7900000005</v>
      </c>
      <c r="D30" s="17">
        <v>634</v>
      </c>
      <c r="E30" s="13">
        <v>12</v>
      </c>
    </row>
    <row r="31" spans="1:5" s="8" customFormat="1" ht="20.399999999999999" x14ac:dyDescent="0.2">
      <c r="A31" s="14" t="s">
        <v>39</v>
      </c>
      <c r="B31" s="15">
        <v>926226.45000000007</v>
      </c>
      <c r="C31" s="15">
        <v>92016.57</v>
      </c>
      <c r="D31" s="17">
        <v>83</v>
      </c>
      <c r="E31" s="13">
        <v>6</v>
      </c>
    </row>
    <row r="32" spans="1:5" s="8" customFormat="1" ht="20.399999999999999" x14ac:dyDescent="0.2">
      <c r="A32" s="14" t="s">
        <v>40</v>
      </c>
      <c r="B32" s="15">
        <v>1575874.71</v>
      </c>
      <c r="C32" s="15">
        <v>117035.31999999999</v>
      </c>
      <c r="D32" s="17">
        <v>93</v>
      </c>
      <c r="E32" s="13">
        <v>6</v>
      </c>
    </row>
    <row r="33" spans="1:5" s="8" customFormat="1" ht="20.399999999999999" x14ac:dyDescent="0.2">
      <c r="A33" s="14" t="s">
        <v>41</v>
      </c>
      <c r="B33" s="15">
        <v>2965868.77</v>
      </c>
      <c r="C33" s="15">
        <v>367076.88</v>
      </c>
      <c r="D33" s="17">
        <v>177</v>
      </c>
      <c r="E33" s="13">
        <v>7</v>
      </c>
    </row>
    <row r="34" spans="1:5" s="8" customFormat="1" x14ac:dyDescent="0.2">
      <c r="A34" s="13" t="s">
        <v>42</v>
      </c>
      <c r="B34" s="15">
        <v>2297752.19</v>
      </c>
      <c r="C34" s="15">
        <v>275013.66000000003</v>
      </c>
      <c r="D34" s="17">
        <v>139</v>
      </c>
      <c r="E34" s="13">
        <v>6</v>
      </c>
    </row>
    <row r="35" spans="1:5" s="8" customFormat="1" x14ac:dyDescent="0.2">
      <c r="A35" s="13" t="s">
        <v>43</v>
      </c>
      <c r="B35" s="15">
        <v>110851538.78000002</v>
      </c>
      <c r="C35" s="15">
        <v>26083979.830000002</v>
      </c>
      <c r="D35" s="17">
        <v>2226</v>
      </c>
      <c r="E35" s="13">
        <v>14</v>
      </c>
    </row>
    <row r="36" spans="1:5" s="8" customFormat="1" x14ac:dyDescent="0.2">
      <c r="A36" s="13" t="s">
        <v>44</v>
      </c>
      <c r="B36" s="15">
        <v>10864404.100000001</v>
      </c>
      <c r="C36" s="15">
        <v>2038144.33</v>
      </c>
      <c r="D36" s="17">
        <v>425</v>
      </c>
      <c r="E36" s="13">
        <v>10</v>
      </c>
    </row>
    <row r="37" spans="1:5" s="8" customFormat="1" ht="20.399999999999999" x14ac:dyDescent="0.2">
      <c r="A37" s="14" t="s">
        <v>45</v>
      </c>
      <c r="B37" s="15">
        <v>4698208.62</v>
      </c>
      <c r="C37" s="15">
        <v>603848.73</v>
      </c>
      <c r="D37" s="17">
        <v>285</v>
      </c>
      <c r="E37" s="13">
        <v>8</v>
      </c>
    </row>
    <row r="38" spans="1:5" s="8" customFormat="1" ht="20.399999999999999" x14ac:dyDescent="0.2">
      <c r="A38" s="14" t="s">
        <v>46</v>
      </c>
      <c r="B38" s="15">
        <v>2667357.38</v>
      </c>
      <c r="C38" s="15">
        <v>329399.74</v>
      </c>
      <c r="D38" s="17">
        <v>178</v>
      </c>
      <c r="E38" s="13">
        <v>5</v>
      </c>
    </row>
    <row r="39" spans="1:5" s="8" customFormat="1" x14ac:dyDescent="0.2">
      <c r="A39" s="13" t="s">
        <v>47</v>
      </c>
      <c r="B39" s="15">
        <v>15963535.299999997</v>
      </c>
      <c r="C39" s="15">
        <v>2327579.16</v>
      </c>
      <c r="D39" s="17">
        <v>739</v>
      </c>
      <c r="E39" s="13">
        <v>11</v>
      </c>
    </row>
    <row r="40" spans="1:5" s="8" customFormat="1" x14ac:dyDescent="0.2">
      <c r="A40" s="13" t="s">
        <v>48</v>
      </c>
      <c r="B40" s="15">
        <v>179663286.41</v>
      </c>
      <c r="C40" s="15">
        <v>42527494.880000003</v>
      </c>
      <c r="D40" s="17">
        <v>3350</v>
      </c>
      <c r="E40" s="13">
        <v>19</v>
      </c>
    </row>
    <row r="41" spans="1:5" s="8" customFormat="1" x14ac:dyDescent="0.2">
      <c r="A41" s="13" t="s">
        <v>49</v>
      </c>
      <c r="B41" s="15">
        <v>17003809.620000001</v>
      </c>
      <c r="C41" s="15">
        <v>3040619.99</v>
      </c>
      <c r="D41" s="17">
        <v>790</v>
      </c>
      <c r="E41" s="13">
        <v>9</v>
      </c>
    </row>
    <row r="42" spans="1:5" s="8" customFormat="1" ht="20.399999999999999" x14ac:dyDescent="0.2">
      <c r="A42" s="14" t="s">
        <v>50</v>
      </c>
      <c r="B42" s="15">
        <v>1782446.4</v>
      </c>
      <c r="C42" s="15">
        <v>216960.54</v>
      </c>
      <c r="D42" s="17">
        <v>107</v>
      </c>
      <c r="E42" s="13">
        <v>5</v>
      </c>
    </row>
    <row r="43" spans="1:5" s="8" customFormat="1" x14ac:dyDescent="0.2">
      <c r="A43" s="13" t="s">
        <v>51</v>
      </c>
      <c r="B43" s="15">
        <v>56465055.689999998</v>
      </c>
      <c r="C43" s="15">
        <v>11838497.859999999</v>
      </c>
      <c r="D43" s="17">
        <v>1540</v>
      </c>
      <c r="E43" s="13">
        <v>14</v>
      </c>
    </row>
    <row r="44" spans="1:5" s="8" customFormat="1" ht="20.399999999999999" x14ac:dyDescent="0.2">
      <c r="A44" s="14" t="s">
        <v>52</v>
      </c>
      <c r="B44" s="15">
        <v>2461991.09</v>
      </c>
      <c r="C44" s="15">
        <v>295513.09999999998</v>
      </c>
      <c r="D44" s="17">
        <v>140</v>
      </c>
      <c r="E44" s="13">
        <v>5</v>
      </c>
    </row>
    <row r="45" spans="1:5" s="8" customFormat="1" ht="20.399999999999999" x14ac:dyDescent="0.2">
      <c r="A45" s="14" t="s">
        <v>53</v>
      </c>
      <c r="B45" s="15">
        <v>8277044.0499999998</v>
      </c>
      <c r="C45" s="15">
        <v>1360827.61</v>
      </c>
      <c r="D45" s="17">
        <v>387</v>
      </c>
      <c r="E45" s="13">
        <v>7</v>
      </c>
    </row>
    <row r="46" spans="1:5" s="8" customFormat="1" ht="20.399999999999999" x14ac:dyDescent="0.2">
      <c r="A46" s="14" t="s">
        <v>54</v>
      </c>
      <c r="B46" s="15">
        <v>652836.82000000007</v>
      </c>
      <c r="C46" s="15">
        <v>0</v>
      </c>
      <c r="D46" s="17">
        <v>109</v>
      </c>
      <c r="E46" s="13">
        <v>8</v>
      </c>
    </row>
    <row r="47" spans="1:5" s="8" customFormat="1" x14ac:dyDescent="0.2">
      <c r="A47" s="13" t="s">
        <v>55</v>
      </c>
      <c r="B47" s="15">
        <v>9027081.4799999986</v>
      </c>
      <c r="C47" s="15">
        <v>1435359.82</v>
      </c>
      <c r="D47" s="17">
        <v>374</v>
      </c>
      <c r="E47" s="13">
        <v>9</v>
      </c>
    </row>
    <row r="48" spans="1:5" s="8" customFormat="1" ht="20.399999999999999" x14ac:dyDescent="0.2">
      <c r="A48" s="14" t="s">
        <v>56</v>
      </c>
      <c r="B48" s="15">
        <v>3513553.41</v>
      </c>
      <c r="C48" s="15">
        <v>394827.86</v>
      </c>
      <c r="D48" s="17">
        <v>189</v>
      </c>
      <c r="E48" s="13">
        <v>8</v>
      </c>
    </row>
    <row r="49" spans="1:5" s="8" customFormat="1" x14ac:dyDescent="0.2">
      <c r="A49" s="13" t="s">
        <v>57</v>
      </c>
      <c r="B49" s="15">
        <v>399184.48000000004</v>
      </c>
      <c r="C49" s="15">
        <v>0</v>
      </c>
      <c r="D49" s="17">
        <v>46</v>
      </c>
      <c r="E49" s="13">
        <v>6</v>
      </c>
    </row>
    <row r="50" spans="1:5" s="8" customFormat="1" x14ac:dyDescent="0.2">
      <c r="A50" s="13" t="s">
        <v>58</v>
      </c>
      <c r="B50" s="15">
        <v>13513097.530000001</v>
      </c>
      <c r="C50" s="15">
        <v>2283717.85</v>
      </c>
      <c r="D50" s="17">
        <v>589</v>
      </c>
      <c r="E50" s="13">
        <v>11</v>
      </c>
    </row>
    <row r="51" spans="1:5" s="8" customFormat="1" ht="20.399999999999999" x14ac:dyDescent="0.2">
      <c r="A51" s="14" t="s">
        <v>59</v>
      </c>
      <c r="B51" s="15">
        <v>4310021.22</v>
      </c>
      <c r="C51" s="15">
        <v>591921.72</v>
      </c>
      <c r="D51" s="17">
        <v>257</v>
      </c>
      <c r="E51" s="13">
        <v>11</v>
      </c>
    </row>
    <row r="52" spans="1:5" s="8" customFormat="1" x14ac:dyDescent="0.2">
      <c r="A52" s="13" t="s">
        <v>60</v>
      </c>
      <c r="B52" s="15">
        <v>19889394.650000002</v>
      </c>
      <c r="C52" s="15">
        <v>3695878.86</v>
      </c>
      <c r="D52" s="17">
        <v>900</v>
      </c>
      <c r="E52" s="13">
        <v>11</v>
      </c>
    </row>
    <row r="53" spans="1:5" s="8" customFormat="1" x14ac:dyDescent="0.2">
      <c r="A53" s="13" t="s">
        <v>61</v>
      </c>
      <c r="B53" s="15">
        <v>28225749.239999995</v>
      </c>
      <c r="C53" s="15">
        <v>5842732.9499999993</v>
      </c>
      <c r="D53" s="17">
        <v>1129</v>
      </c>
      <c r="E53" s="13">
        <v>17</v>
      </c>
    </row>
    <row r="54" spans="1:5" s="8" customFormat="1" x14ac:dyDescent="0.2">
      <c r="A54" s="13" t="s">
        <v>62</v>
      </c>
      <c r="B54" s="15">
        <v>2856719.58</v>
      </c>
      <c r="C54" s="15">
        <v>379016.42</v>
      </c>
      <c r="D54" s="17">
        <v>122</v>
      </c>
      <c r="E54" s="13">
        <v>5</v>
      </c>
    </row>
    <row r="55" spans="1:5" s="8" customFormat="1" x14ac:dyDescent="0.2">
      <c r="A55" s="13" t="s">
        <v>63</v>
      </c>
      <c r="B55" s="15">
        <v>7141384.8599999994</v>
      </c>
      <c r="C55" s="15">
        <v>944957.65999999992</v>
      </c>
      <c r="D55" s="17">
        <v>349</v>
      </c>
      <c r="E55" s="13">
        <v>10</v>
      </c>
    </row>
    <row r="56" spans="1:5" s="8" customFormat="1" x14ac:dyDescent="0.2">
      <c r="A56" s="13" t="s">
        <v>64</v>
      </c>
      <c r="B56" s="15">
        <v>3940991.0399999996</v>
      </c>
      <c r="C56" s="15">
        <v>473599.58999999997</v>
      </c>
      <c r="D56" s="17">
        <v>218</v>
      </c>
      <c r="E56" s="13">
        <v>6</v>
      </c>
    </row>
    <row r="57" spans="1:5" s="8" customFormat="1" x14ac:dyDescent="0.2">
      <c r="A57" s="13" t="s">
        <v>65</v>
      </c>
      <c r="B57" s="15">
        <v>404356.81</v>
      </c>
      <c r="C57" s="15">
        <v>0</v>
      </c>
      <c r="D57" s="17">
        <v>58</v>
      </c>
      <c r="E57" s="13">
        <v>5</v>
      </c>
    </row>
    <row r="58" spans="1:5" s="8" customFormat="1" x14ac:dyDescent="0.2">
      <c r="A58" s="13" t="s">
        <v>66</v>
      </c>
      <c r="B58" s="15">
        <v>119008.21000000002</v>
      </c>
      <c r="C58" s="15">
        <v>0</v>
      </c>
      <c r="D58" s="17">
        <v>42</v>
      </c>
      <c r="E58" s="13">
        <v>5</v>
      </c>
    </row>
    <row r="59" spans="1:5" s="8" customFormat="1" x14ac:dyDescent="0.2">
      <c r="A59" s="13" t="s">
        <v>67</v>
      </c>
      <c r="B59" s="15">
        <v>38361761.880000003</v>
      </c>
      <c r="C59" s="15">
        <v>5888879.330000001</v>
      </c>
      <c r="D59" s="17">
        <v>1913</v>
      </c>
      <c r="E59" s="13">
        <v>35</v>
      </c>
    </row>
    <row r="60" spans="1:5" s="8" customFormat="1" ht="20.399999999999999" x14ac:dyDescent="0.2">
      <c r="A60" s="14" t="s">
        <v>68</v>
      </c>
      <c r="B60" s="15">
        <v>2237912.7000000002</v>
      </c>
      <c r="C60" s="15">
        <v>229656.77</v>
      </c>
      <c r="D60" s="17">
        <v>145</v>
      </c>
      <c r="E60" s="13">
        <v>7</v>
      </c>
    </row>
    <row r="61" spans="1:5" s="8" customFormat="1" x14ac:dyDescent="0.2">
      <c r="A61" s="13" t="s">
        <v>69</v>
      </c>
      <c r="B61" s="15">
        <v>5773286.2599999998</v>
      </c>
      <c r="C61" s="15">
        <v>877013.4</v>
      </c>
      <c r="D61" s="17">
        <v>307</v>
      </c>
      <c r="E61" s="13">
        <v>11</v>
      </c>
    </row>
    <row r="62" spans="1:5" s="8" customFormat="1" x14ac:dyDescent="0.2">
      <c r="A62" s="13" t="s">
        <v>70</v>
      </c>
      <c r="B62" s="15">
        <v>4912321.6900000004</v>
      </c>
      <c r="C62" s="15">
        <v>743491.3600000001</v>
      </c>
      <c r="D62" s="17">
        <v>228</v>
      </c>
      <c r="E62" s="13">
        <v>6</v>
      </c>
    </row>
    <row r="63" spans="1:5" s="8" customFormat="1" x14ac:dyDescent="0.2">
      <c r="A63" s="13" t="s">
        <v>71</v>
      </c>
      <c r="B63" s="15">
        <v>41262161.32</v>
      </c>
      <c r="C63" s="15">
        <v>9081331.7599999998</v>
      </c>
      <c r="D63" s="17">
        <v>1097</v>
      </c>
      <c r="E63" s="13">
        <v>8</v>
      </c>
    </row>
    <row r="64" spans="1:5" s="8" customFormat="1" x14ac:dyDescent="0.2">
      <c r="A64" s="13" t="s">
        <v>72</v>
      </c>
      <c r="B64" s="15">
        <v>10575318.939999999</v>
      </c>
      <c r="C64" s="15">
        <v>1832132.43</v>
      </c>
      <c r="D64" s="17">
        <v>413</v>
      </c>
      <c r="E64" s="13">
        <v>7</v>
      </c>
    </row>
    <row r="65" spans="1:5" s="8" customFormat="1" x14ac:dyDescent="0.2">
      <c r="A65" s="13" t="s">
        <v>73</v>
      </c>
      <c r="B65" s="15">
        <v>21022114.149999999</v>
      </c>
      <c r="C65" s="15">
        <v>2684069.7999999993</v>
      </c>
      <c r="D65" s="17">
        <v>1103</v>
      </c>
      <c r="E65" s="13">
        <v>28</v>
      </c>
    </row>
    <row r="66" spans="1:5" s="8" customFormat="1" x14ac:dyDescent="0.2">
      <c r="A66" s="13" t="s">
        <v>74</v>
      </c>
      <c r="B66" s="15">
        <v>3773474.21</v>
      </c>
      <c r="C66" s="15">
        <v>465778.38</v>
      </c>
      <c r="D66" s="17">
        <v>177</v>
      </c>
      <c r="E66" s="13">
        <v>7</v>
      </c>
    </row>
    <row r="67" spans="1:5" s="8" customFormat="1" ht="20.399999999999999" x14ac:dyDescent="0.2">
      <c r="A67" s="14" t="s">
        <v>75</v>
      </c>
      <c r="B67" s="15">
        <v>5647318.9299999997</v>
      </c>
      <c r="C67" s="15">
        <v>659138.35</v>
      </c>
      <c r="D67" s="17">
        <v>301</v>
      </c>
      <c r="E67" s="13">
        <v>7</v>
      </c>
    </row>
    <row r="68" spans="1:5" s="8" customFormat="1" ht="20.399999999999999" x14ac:dyDescent="0.2">
      <c r="A68" s="14" t="s">
        <v>76</v>
      </c>
      <c r="B68" s="15">
        <v>11849078.48</v>
      </c>
      <c r="C68" s="15">
        <v>2358117.1399999997</v>
      </c>
      <c r="D68" s="17">
        <v>388</v>
      </c>
      <c r="E68" s="13">
        <v>6</v>
      </c>
    </row>
    <row r="69" spans="1:5" s="8" customFormat="1" x14ac:dyDescent="0.2">
      <c r="A69" s="13" t="s">
        <v>77</v>
      </c>
      <c r="B69" s="15">
        <v>26484359.41</v>
      </c>
      <c r="C69" s="15">
        <v>5110492.8800000008</v>
      </c>
      <c r="D69" s="17">
        <v>925</v>
      </c>
      <c r="E69" s="13">
        <v>10</v>
      </c>
    </row>
    <row r="70" spans="1:5" s="8" customFormat="1" x14ac:dyDescent="0.2">
      <c r="A70" s="13" t="s">
        <v>78</v>
      </c>
      <c r="B70" s="15">
        <v>4274627.3599999994</v>
      </c>
      <c r="C70" s="15">
        <v>594092.14</v>
      </c>
      <c r="D70" s="17">
        <v>198</v>
      </c>
      <c r="E70" s="13">
        <v>5</v>
      </c>
    </row>
    <row r="71" spans="1:5" s="8" customFormat="1" x14ac:dyDescent="0.2">
      <c r="A71" s="13" t="s">
        <v>79</v>
      </c>
      <c r="B71" s="15">
        <v>4264387.67</v>
      </c>
      <c r="C71" s="15">
        <v>450237.25</v>
      </c>
      <c r="D71" s="17">
        <v>258</v>
      </c>
      <c r="E71" s="13">
        <v>9</v>
      </c>
    </row>
    <row r="72" spans="1:5" s="8" customFormat="1" x14ac:dyDescent="0.2">
      <c r="A72" s="13" t="s">
        <v>80</v>
      </c>
      <c r="B72" s="15">
        <v>2233271.89</v>
      </c>
      <c r="C72" s="15">
        <v>186407.79</v>
      </c>
      <c r="D72" s="17">
        <v>147</v>
      </c>
      <c r="E72" s="13">
        <v>7</v>
      </c>
    </row>
    <row r="73" spans="1:5" s="8" customFormat="1" ht="20.399999999999999" x14ac:dyDescent="0.2">
      <c r="A73" s="14" t="s">
        <v>81</v>
      </c>
      <c r="B73" s="15">
        <v>1740319.27</v>
      </c>
      <c r="C73" s="15">
        <v>134122.60999999999</v>
      </c>
      <c r="D73" s="17">
        <v>120</v>
      </c>
      <c r="E73" s="13">
        <v>7</v>
      </c>
    </row>
    <row r="74" spans="1:5" s="8" customFormat="1" x14ac:dyDescent="0.2">
      <c r="A74" s="13" t="s">
        <v>82</v>
      </c>
      <c r="B74" s="15">
        <v>49476037.210000001</v>
      </c>
      <c r="C74" s="15">
        <v>9758134.4400000013</v>
      </c>
      <c r="D74" s="17">
        <v>2113</v>
      </c>
      <c r="E74" s="13">
        <v>31</v>
      </c>
    </row>
    <row r="75" spans="1:5" s="8" customFormat="1" x14ac:dyDescent="0.2">
      <c r="A75" s="13" t="s">
        <v>83</v>
      </c>
      <c r="B75" s="15">
        <v>47404679.730000019</v>
      </c>
      <c r="C75" s="15">
        <v>9371831.7699999996</v>
      </c>
      <c r="D75" s="17">
        <v>1767</v>
      </c>
      <c r="E75" s="13">
        <v>28</v>
      </c>
    </row>
    <row r="76" spans="1:5" s="8" customFormat="1" x14ac:dyDescent="0.2">
      <c r="A76" s="13" t="s">
        <v>84</v>
      </c>
      <c r="B76" s="15">
        <v>8875551.2200000007</v>
      </c>
      <c r="C76" s="15">
        <v>1713090.1800000002</v>
      </c>
      <c r="D76" s="17">
        <v>311</v>
      </c>
      <c r="E76" s="13">
        <v>6</v>
      </c>
    </row>
    <row r="77" spans="1:5" s="8" customFormat="1" x14ac:dyDescent="0.2">
      <c r="A77" s="13" t="s">
        <v>85</v>
      </c>
      <c r="B77" s="15">
        <v>2684542.3600000003</v>
      </c>
      <c r="C77" s="15">
        <v>273036.94</v>
      </c>
      <c r="D77" s="17">
        <v>184</v>
      </c>
      <c r="E77" s="13">
        <v>9</v>
      </c>
    </row>
    <row r="78" spans="1:5" s="8" customFormat="1" x14ac:dyDescent="0.2">
      <c r="A78" s="13" t="s">
        <v>86</v>
      </c>
      <c r="B78" s="15">
        <v>41670203.979999997</v>
      </c>
      <c r="C78" s="15">
        <v>8885110.3499999978</v>
      </c>
      <c r="D78" s="17">
        <v>1320</v>
      </c>
      <c r="E78" s="13">
        <v>11</v>
      </c>
    </row>
    <row r="79" spans="1:5" s="8" customFormat="1" x14ac:dyDescent="0.2">
      <c r="A79" s="13" t="s">
        <v>87</v>
      </c>
      <c r="B79" s="15">
        <v>59985149.459999993</v>
      </c>
      <c r="C79" s="15">
        <v>12836402.17</v>
      </c>
      <c r="D79" s="17">
        <v>2124</v>
      </c>
      <c r="E79" s="13">
        <v>16</v>
      </c>
    </row>
    <row r="80" spans="1:5" s="8" customFormat="1" x14ac:dyDescent="0.2">
      <c r="A80" s="13" t="s">
        <v>88</v>
      </c>
      <c r="B80" s="15">
        <v>24664236.300000001</v>
      </c>
      <c r="C80" s="15">
        <v>4357983.92</v>
      </c>
      <c r="D80" s="17">
        <v>1029</v>
      </c>
      <c r="E80" s="13">
        <v>14</v>
      </c>
    </row>
    <row r="81" spans="1:5" s="8" customFormat="1" x14ac:dyDescent="0.2">
      <c r="A81" s="13" t="s">
        <v>89</v>
      </c>
      <c r="B81" s="15">
        <v>15742632.539999999</v>
      </c>
      <c r="C81" s="15">
        <v>2347037.7699999996</v>
      </c>
      <c r="D81" s="17">
        <v>760</v>
      </c>
      <c r="E81" s="13">
        <v>13</v>
      </c>
    </row>
    <row r="82" spans="1:5" s="8" customFormat="1" x14ac:dyDescent="0.2">
      <c r="A82" s="13" t="s">
        <v>90</v>
      </c>
      <c r="B82" s="15">
        <v>16150781.520000003</v>
      </c>
      <c r="C82" s="15">
        <v>3218257.9399999995</v>
      </c>
      <c r="D82" s="17">
        <v>600</v>
      </c>
      <c r="E82" s="13">
        <v>8</v>
      </c>
    </row>
    <row r="83" spans="1:5" s="8" customFormat="1" x14ac:dyDescent="0.2">
      <c r="A83" s="13" t="s">
        <v>91</v>
      </c>
      <c r="B83" s="15">
        <v>28191190.100000001</v>
      </c>
      <c r="C83" s="15">
        <v>5620212.54</v>
      </c>
      <c r="D83" s="17">
        <v>1109</v>
      </c>
      <c r="E83" s="13">
        <v>16</v>
      </c>
    </row>
    <row r="84" spans="1:5" s="8" customFormat="1" x14ac:dyDescent="0.2">
      <c r="A84" s="13" t="s">
        <v>92</v>
      </c>
      <c r="B84" s="15">
        <v>4560565.75</v>
      </c>
      <c r="C84" s="15">
        <v>541477.14999999991</v>
      </c>
      <c r="D84" s="17">
        <v>262</v>
      </c>
      <c r="E84" s="13">
        <v>8</v>
      </c>
    </row>
    <row r="85" spans="1:5" s="8" customFormat="1" x14ac:dyDescent="0.2">
      <c r="A85" s="13" t="s">
        <v>93</v>
      </c>
      <c r="B85" s="15">
        <v>25879074.719999999</v>
      </c>
      <c r="C85" s="15">
        <v>5156480.3099999996</v>
      </c>
      <c r="D85" s="17">
        <v>921</v>
      </c>
      <c r="E85" s="13">
        <v>12</v>
      </c>
    </row>
    <row r="86" spans="1:5" s="8" customFormat="1" x14ac:dyDescent="0.2">
      <c r="A86" s="13" t="s">
        <v>94</v>
      </c>
      <c r="B86" s="15">
        <v>20793086.439999998</v>
      </c>
      <c r="C86" s="15">
        <v>4011691.7700000005</v>
      </c>
      <c r="D86" s="17">
        <v>759</v>
      </c>
      <c r="E86" s="13">
        <v>6</v>
      </c>
    </row>
    <row r="87" spans="1:5" s="8" customFormat="1" x14ac:dyDescent="0.2">
      <c r="A87" s="13" t="s">
        <v>95</v>
      </c>
      <c r="B87" s="15">
        <v>31682480.160000004</v>
      </c>
      <c r="C87" s="15">
        <v>4718966.71</v>
      </c>
      <c r="D87" s="17">
        <v>1414</v>
      </c>
      <c r="E87" s="13">
        <v>23</v>
      </c>
    </row>
    <row r="88" spans="1:5" s="8" customFormat="1" x14ac:dyDescent="0.2">
      <c r="A88" s="13" t="s">
        <v>96</v>
      </c>
      <c r="B88" s="15">
        <v>2551984.92</v>
      </c>
      <c r="C88" s="15">
        <v>261097.13</v>
      </c>
      <c r="D88" s="17">
        <v>162</v>
      </c>
      <c r="E88" s="13">
        <v>7</v>
      </c>
    </row>
    <row r="89" spans="1:5" s="8" customFormat="1" x14ac:dyDescent="0.2">
      <c r="A89" s="13" t="s">
        <v>97</v>
      </c>
      <c r="B89" s="15">
        <v>1593644.6700000002</v>
      </c>
      <c r="C89" s="15">
        <v>16840.010000000002</v>
      </c>
      <c r="D89" s="17">
        <v>145</v>
      </c>
      <c r="E89" s="13">
        <v>8</v>
      </c>
    </row>
    <row r="90" spans="1:5" s="8" customFormat="1" x14ac:dyDescent="0.2">
      <c r="A90" s="13" t="s">
        <v>98</v>
      </c>
      <c r="B90" s="15">
        <v>42089258.480000012</v>
      </c>
      <c r="C90" s="15">
        <v>7724860.3200000003</v>
      </c>
      <c r="D90" s="17">
        <v>1793</v>
      </c>
      <c r="E90" s="13">
        <v>24</v>
      </c>
    </row>
    <row r="91" spans="1:5" s="8" customFormat="1" x14ac:dyDescent="0.2">
      <c r="A91" s="13" t="s">
        <v>99</v>
      </c>
      <c r="B91" s="15">
        <v>16649536.690000001</v>
      </c>
      <c r="C91" s="15">
        <v>3090843.98</v>
      </c>
      <c r="D91" s="17">
        <v>591</v>
      </c>
      <c r="E91" s="13">
        <v>10</v>
      </c>
    </row>
    <row r="92" spans="1:5" s="8" customFormat="1" x14ac:dyDescent="0.2">
      <c r="A92" s="13" t="s">
        <v>100</v>
      </c>
      <c r="B92" s="15">
        <v>10637871.26</v>
      </c>
      <c r="C92" s="15">
        <v>1490557.43</v>
      </c>
      <c r="D92" s="17">
        <v>515</v>
      </c>
      <c r="E92" s="13">
        <v>15</v>
      </c>
    </row>
    <row r="93" spans="1:5" s="8" customFormat="1" x14ac:dyDescent="0.2">
      <c r="A93" s="13" t="s">
        <v>101</v>
      </c>
      <c r="B93" s="15">
        <v>20274471.449999999</v>
      </c>
      <c r="C93" s="15">
        <v>4221017.7</v>
      </c>
      <c r="D93" s="17">
        <v>701</v>
      </c>
      <c r="E93" s="13">
        <v>7</v>
      </c>
    </row>
    <row r="94" spans="1:5" s="8" customFormat="1" x14ac:dyDescent="0.2">
      <c r="A94" s="13" t="s">
        <v>102</v>
      </c>
      <c r="B94" s="15">
        <v>39265436.220000006</v>
      </c>
      <c r="C94" s="15">
        <v>7526881.4499999993</v>
      </c>
      <c r="D94" s="17">
        <v>1778</v>
      </c>
      <c r="E94" s="13">
        <v>16</v>
      </c>
    </row>
    <row r="95" spans="1:5" s="8" customFormat="1" x14ac:dyDescent="0.2">
      <c r="A95" s="13" t="s">
        <v>103</v>
      </c>
      <c r="B95" s="15">
        <v>2666710.61</v>
      </c>
      <c r="C95" s="15">
        <v>242521.76</v>
      </c>
      <c r="D95" s="17">
        <v>158</v>
      </c>
      <c r="E95" s="13">
        <v>9</v>
      </c>
    </row>
    <row r="96" spans="1:5" s="8" customFormat="1" ht="20.399999999999999" x14ac:dyDescent="0.2">
      <c r="A96" s="14" t="s">
        <v>104</v>
      </c>
      <c r="B96" s="15">
        <v>438285.8</v>
      </c>
      <c r="C96" s="15">
        <v>0</v>
      </c>
      <c r="D96" s="17">
        <v>62</v>
      </c>
      <c r="E96" s="13">
        <v>5</v>
      </c>
    </row>
    <row r="97" spans="1:5" s="8" customFormat="1" x14ac:dyDescent="0.2">
      <c r="A97" s="13" t="s">
        <v>105</v>
      </c>
      <c r="B97" s="15">
        <v>8913410.8300000001</v>
      </c>
      <c r="C97" s="15">
        <v>1568588.0300000003</v>
      </c>
      <c r="D97" s="17">
        <v>419</v>
      </c>
      <c r="E97" s="13">
        <v>6</v>
      </c>
    </row>
    <row r="98" spans="1:5" s="8" customFormat="1" x14ac:dyDescent="0.2">
      <c r="A98" s="13" t="s">
        <v>106</v>
      </c>
      <c r="B98" s="15">
        <v>617703.42000000004</v>
      </c>
      <c r="C98" s="15">
        <v>0</v>
      </c>
      <c r="D98" s="17">
        <v>96</v>
      </c>
      <c r="E98" s="13">
        <v>10</v>
      </c>
    </row>
    <row r="99" spans="1:5" s="8" customFormat="1" x14ac:dyDescent="0.2">
      <c r="A99" s="13" t="s">
        <v>107</v>
      </c>
      <c r="B99" s="15">
        <v>14582889.919999998</v>
      </c>
      <c r="C99" s="15">
        <v>3167121.3499999996</v>
      </c>
      <c r="D99" s="17">
        <v>470</v>
      </c>
      <c r="E99" s="13">
        <v>9</v>
      </c>
    </row>
    <row r="100" spans="1:5" s="8" customFormat="1" x14ac:dyDescent="0.2">
      <c r="A100" s="13" t="s">
        <v>108</v>
      </c>
      <c r="B100" s="15">
        <v>14580827.539999999</v>
      </c>
      <c r="C100" s="15">
        <v>3313452.1799999997</v>
      </c>
      <c r="D100" s="17">
        <v>388</v>
      </c>
      <c r="E100" s="13">
        <v>5</v>
      </c>
    </row>
    <row r="101" spans="1:5" s="8" customFormat="1" x14ac:dyDescent="0.2">
      <c r="A101" s="13" t="s">
        <v>109</v>
      </c>
      <c r="B101" s="15">
        <v>6778568.5800000001</v>
      </c>
      <c r="C101" s="15">
        <v>1138041.43</v>
      </c>
      <c r="D101" s="17">
        <v>310</v>
      </c>
      <c r="E101" s="13">
        <v>7</v>
      </c>
    </row>
    <row r="102" spans="1:5" s="8" customFormat="1" x14ac:dyDescent="0.2">
      <c r="A102" s="13" t="s">
        <v>110</v>
      </c>
      <c r="B102" s="15">
        <v>1873435.7</v>
      </c>
      <c r="C102" s="15">
        <v>114838.63</v>
      </c>
      <c r="D102" s="17">
        <v>164</v>
      </c>
      <c r="E102" s="13">
        <v>5</v>
      </c>
    </row>
    <row r="103" spans="1:5" s="8" customFormat="1" x14ac:dyDescent="0.2">
      <c r="A103" s="13" t="s">
        <v>111</v>
      </c>
      <c r="B103" s="15">
        <v>58331622.360000007</v>
      </c>
      <c r="C103" s="15">
        <v>10124437.139999997</v>
      </c>
      <c r="D103" s="17">
        <v>2463</v>
      </c>
      <c r="E103" s="13">
        <v>37</v>
      </c>
    </row>
    <row r="104" spans="1:5" s="8" customFormat="1" x14ac:dyDescent="0.2">
      <c r="A104" s="13" t="s">
        <v>112</v>
      </c>
      <c r="B104" s="15">
        <v>1043394.29</v>
      </c>
      <c r="C104" s="15">
        <v>18754.050000000003</v>
      </c>
      <c r="D104" s="17">
        <v>99</v>
      </c>
      <c r="E104" s="13">
        <v>6</v>
      </c>
    </row>
    <row r="105" spans="1:5" ht="13.2" x14ac:dyDescent="0.2">
      <c r="A105" s="7" t="s">
        <v>4</v>
      </c>
      <c r="B105" s="12">
        <f>SUM(B5:B104)</f>
        <v>1944612893.1600003</v>
      </c>
      <c r="C105" s="12">
        <f t="shared" ref="C105:E105" si="0">SUM(C5:C104)</f>
        <v>382507625.93000001</v>
      </c>
      <c r="D105" s="7">
        <f t="shared" si="0"/>
        <v>68808</v>
      </c>
      <c r="E105" s="7">
        <f t="shared" si="0"/>
        <v>1085</v>
      </c>
    </row>
  </sheetData>
  <autoFilter ref="A4:E4" xr:uid="{00000000-0009-0000-0000-000000000000}"/>
  <mergeCells count="3">
    <mergeCell ref="A1:E1"/>
    <mergeCell ref="A3:E3"/>
    <mergeCell ref="A2:E2"/>
  </mergeCells>
  <conditionalFormatting sqref="E4">
    <cfRule type="cellIs" dxfId="4" priority="4" stopIfTrue="1" operator="lessThan">
      <formula>5</formula>
    </cfRule>
  </conditionalFormatting>
  <conditionalFormatting sqref="A105">
    <cfRule type="cellIs" dxfId="3" priority="3" stopIfTrue="1" operator="lessThan">
      <formula>5</formula>
    </cfRule>
  </conditionalFormatting>
  <conditionalFormatting sqref="B105">
    <cfRule type="cellIs" dxfId="2" priority="2" stopIfTrue="1" operator="lessThan">
      <formula>5</formula>
    </cfRule>
  </conditionalFormatting>
  <conditionalFormatting sqref="C105:E105">
    <cfRule type="cellIs" dxfId="1" priority="1" stopIfTrue="1" operator="lessThan">
      <formula>5</formula>
    </cfRule>
  </conditionalFormatting>
  <printOptions horizontalCentered="1"/>
  <pageMargins left="0.19685039370078741" right="0.19685039370078741" top="0.39370078740157483" bottom="0.98425196850393704" header="0.19685039370078741" footer="0.39370078740157483"/>
  <pageSetup paperSize="9" fitToHeight="0" orientation="portrait" r:id="rId1"/>
  <headerFooter>
    <oddHeader xml:space="preserve">&amp;RPage &amp;P of &amp;N
</oddHeader>
    <oddFooter>&amp;L&amp;GThis work is licenced under the Creative Commons Attribution 4.0 Licence. See http://creativecommons.org/licenses/by/4.0/ for details. We request attribution as '© State of New South Wales Customer Service) 2019.'</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C6"/>
  <sheetViews>
    <sheetView showGridLines="0" zoomScaleNormal="100" workbookViewId="0">
      <selection activeCell="A2" sqref="A2:A6"/>
    </sheetView>
  </sheetViews>
  <sheetFormatPr defaultColWidth="9.28515625" defaultRowHeight="10.199999999999999" x14ac:dyDescent="0.2"/>
  <cols>
    <col min="1" max="1" width="35.85546875" style="1" customWidth="1"/>
    <col min="2" max="2" width="35.85546875" style="2" customWidth="1"/>
    <col min="3" max="3" width="55.85546875" style="2" customWidth="1"/>
    <col min="4" max="16384" width="9.28515625" style="1"/>
  </cols>
  <sheetData>
    <row r="1" spans="1:3" customFormat="1" ht="94.5" customHeight="1" x14ac:dyDescent="0.2">
      <c r="A1" s="18"/>
      <c r="B1" s="18"/>
      <c r="C1" s="18"/>
    </row>
    <row r="2" spans="1:3" customFormat="1" ht="60" customHeight="1" x14ac:dyDescent="0.2">
      <c r="A2" s="19" t="s">
        <v>5</v>
      </c>
      <c r="B2" s="3" t="s">
        <v>12</v>
      </c>
      <c r="C2" s="6" t="s">
        <v>6</v>
      </c>
    </row>
    <row r="3" spans="1:3" ht="51" customHeight="1" x14ac:dyDescent="0.2">
      <c r="A3" s="19"/>
      <c r="B3" s="4" t="s">
        <v>1</v>
      </c>
      <c r="C3" s="6" t="s">
        <v>7</v>
      </c>
    </row>
    <row r="4" spans="1:3" ht="56.4" customHeight="1" x14ac:dyDescent="0.2">
      <c r="A4" s="19"/>
      <c r="B4" s="4" t="s">
        <v>2</v>
      </c>
      <c r="C4" s="6" t="s">
        <v>8</v>
      </c>
    </row>
    <row r="5" spans="1:3" ht="150.6" customHeight="1" x14ac:dyDescent="0.2">
      <c r="A5" s="19"/>
      <c r="B5" s="5" t="s">
        <v>9</v>
      </c>
      <c r="C5" s="6" t="s">
        <v>10</v>
      </c>
    </row>
    <row r="6" spans="1:3" ht="120.6" customHeight="1" x14ac:dyDescent="0.2">
      <c r="A6" s="19"/>
      <c r="B6" s="5" t="s">
        <v>3</v>
      </c>
      <c r="C6" s="6" t="s">
        <v>11</v>
      </c>
    </row>
  </sheetData>
  <mergeCells count="2">
    <mergeCell ref="A1:C1"/>
    <mergeCell ref="A2:A6"/>
  </mergeCells>
  <conditionalFormatting sqref="B6">
    <cfRule type="cellIs" dxfId="0" priority="1" stopIfTrue="1" operator="lessThan">
      <formula>5</formula>
    </cfRule>
  </conditionalFormatting>
  <pageMargins left="0.19685039370078741" right="0.19685039370078741" top="0.39370078740157483" bottom="0.98425196850393704" header="0.19685039370078741" footer="0.39370078740157483"/>
  <pageSetup paperSize="9" fitToHeight="0" orientation="portrait" r:id="rId1"/>
  <headerFooter>
    <oddHeader xml:space="preserve">&amp;RPage &amp;P of &amp;N
</oddHeader>
    <oddFooter>&amp;L&amp;GThis work is licenced under the Creative Commons Attribution 4.0 Licence. See http://creativecommons.org/licenses/by/4.0/ for details. We request attribution as '© State of New South Wales (Department of Industry) 2018.'</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Clubs</vt:lpstr>
      <vt:lpstr>Glossary</vt:lpstr>
      <vt:lpstr>Clubs!Print_Titles</vt:lpstr>
      <vt:lpstr>Glossary!Print_Titles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trajkok</dc:creator>
  <cp:lastModifiedBy>beaverc</cp:lastModifiedBy>
  <cp:lastPrinted>2018-04-09T00:24:07Z</cp:lastPrinted>
  <dcterms:created xsi:type="dcterms:W3CDTF">2017-07-31T06:12:57Z</dcterms:created>
  <dcterms:modified xsi:type="dcterms:W3CDTF">2019-10-24T02:41:30Z</dcterms:modified>
</cp:coreProperties>
</file>